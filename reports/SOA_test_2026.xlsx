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(#,##0);&quot;-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205B"/>
    </font>
    <font>
      <name val="Arial"/>
      <sz val="10"/>
    </font>
    <font>
      <name val="Arial"/>
      <b val="1"/>
      <color rgb="0000205B"/>
      <sz val="10"/>
    </font>
  </fonts>
  <fills count="6">
    <fill>
      <patternFill/>
    </fill>
    <fill>
      <patternFill patternType="gray125"/>
    </fill>
    <fill>
      <patternFill patternType="solid">
        <fgColor rgb="0000205B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165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3" fillId="4" borderId="1" applyAlignment="1" pivotButton="0" quotePrefix="0" xfId="0">
      <alignment horizontal="center" vertical="center"/>
    </xf>
    <xf numFmtId="166" fontId="4" fillId="4" borderId="1" applyAlignment="1" pivotButton="0" quotePrefix="0" xfId="0">
      <alignment horizontal="center" vertical="center"/>
    </xf>
    <xf numFmtId="165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166" fontId="3" fillId="5" borderId="1" applyAlignment="1" pivotButton="0" quotePrefix="0" xfId="0">
      <alignment horizontal="center" vertical="center"/>
    </xf>
    <xf numFmtId="166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ont>
        <name val="Arial"/>
        <color rgb="00006100"/>
      </font>
    </dxf>
    <dxf>
      <font>
        <name val="Arial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8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4" customWidth="1" min="30" max="30"/>
    <col width="12" customWidth="1" min="31" max="31"/>
    <col width="18" customWidth="1" min="32" max="32"/>
  </cols>
  <sheetData>
    <row r="1">
      <c r="A1" s="1" t="inlineStr">
        <is>
          <t>AFRILLOT   ACCOUNT</t>
        </is>
      </c>
    </row>
    <row r="3">
      <c r="A3" s="2" t="inlineStr">
        <is>
          <t>PARTICULARS</t>
        </is>
      </c>
      <c r="H3" s="2" t="inlineStr">
        <is>
          <t>ADDITIONAL COST</t>
        </is>
      </c>
      <c r="Q3" s="2" t="inlineStr"/>
      <c r="AD3" s="2" t="inlineStr">
        <is>
          <t>BALANCE</t>
        </is>
      </c>
    </row>
    <row r="4">
      <c r="A4" s="2" t="inlineStr">
        <is>
          <t>DATE</t>
        </is>
      </c>
      <c r="B4" s="2" t="inlineStr">
        <is>
          <t>FILE NO.</t>
        </is>
      </c>
      <c r="C4" s="2" t="inlineStr">
        <is>
          <t>CONSIGNEE</t>
        </is>
      </c>
      <c r="D4" s="2" t="inlineStr">
        <is>
          <t>BL NO.</t>
        </is>
      </c>
      <c r="E4" s="2" t="inlineStr">
        <is>
          <t>20'</t>
        </is>
      </c>
      <c r="F4" s="2" t="inlineStr">
        <is>
          <t>40'</t>
        </is>
      </c>
      <c r="G4" s="2" t="inlineStr">
        <is>
          <t>TOTAL AMOUNT</t>
        </is>
      </c>
      <c r="H4" s="2" t="inlineStr">
        <is>
          <t>VERF.</t>
        </is>
      </c>
      <c r="I4" s="2" t="inlineStr">
        <is>
          <t>STORAGE</t>
        </is>
      </c>
      <c r="J4" s="2" t="inlineStr">
        <is>
          <t>REMOVAL</t>
        </is>
      </c>
      <c r="K4" s="2" t="inlineStr">
        <is>
          <t>CWR</t>
        </is>
      </c>
      <c r="L4" s="2" t="inlineStr">
        <is>
          <t>HANDOVER</t>
        </is>
      </c>
      <c r="M4" s="2" t="inlineStr">
        <is>
          <t>CLEARANCE FEES</t>
        </is>
      </c>
      <c r="N4" s="2" t="inlineStr">
        <is>
          <t>TRANSPORT</t>
        </is>
      </c>
      <c r="O4" s="2" t="inlineStr">
        <is>
          <t>DEMURRAGE</t>
        </is>
      </c>
      <c r="P4" s="2" t="inlineStr">
        <is>
          <t>ADDITIONAL TOTAL</t>
        </is>
      </c>
      <c r="Q4" s="2" t="inlineStr">
        <is>
          <t>GRAND TOTAL</t>
        </is>
      </c>
      <c r="R4" s="2" t="inlineStr">
        <is>
          <t>DATE</t>
        </is>
      </c>
      <c r="S4" s="2" t="inlineStr">
        <is>
          <t>AMOUNT</t>
        </is>
      </c>
      <c r="T4" s="2" t="inlineStr">
        <is>
          <t>MODE</t>
        </is>
      </c>
      <c r="U4" s="2" t="inlineStr">
        <is>
          <t>DATE</t>
        </is>
      </c>
      <c r="V4" s="2" t="inlineStr">
        <is>
          <t>AMOUNT</t>
        </is>
      </c>
      <c r="W4" s="2" t="inlineStr">
        <is>
          <t>MODE</t>
        </is>
      </c>
      <c r="X4" s="2" t="inlineStr">
        <is>
          <t>DATE</t>
        </is>
      </c>
      <c r="Y4" s="2" t="inlineStr">
        <is>
          <t>AMOUNT</t>
        </is>
      </c>
      <c r="Z4" s="2" t="inlineStr">
        <is>
          <t>MODE</t>
        </is>
      </c>
      <c r="AA4" s="2" t="inlineStr">
        <is>
          <t>DATE</t>
        </is>
      </c>
      <c r="AB4" s="2" t="inlineStr">
        <is>
          <t>AMOUNT</t>
        </is>
      </c>
      <c r="AC4" s="2" t="inlineStr">
        <is>
          <t>MODE</t>
        </is>
      </c>
      <c r="AD4" s="2" t="inlineStr">
        <is>
          <t>TOTAL RECEIVED</t>
        </is>
      </c>
      <c r="AE4" s="2" t="inlineStr">
        <is>
          <t>PROFIT</t>
        </is>
      </c>
      <c r="AF4" s="2" t="inlineStr">
        <is>
          <t>TOTAL PROFIT BALANCE</t>
        </is>
      </c>
    </row>
    <row r="5">
      <c r="A5" s="3" t="n">
        <v>46104</v>
      </c>
      <c r="B5" s="4" t="inlineStr">
        <is>
          <t>ATMS-20260323-0001</t>
        </is>
      </c>
      <c r="C5" s="4" t="inlineStr">
        <is>
          <t>Bravetech company ltd</t>
        </is>
      </c>
      <c r="D5" s="4" t="inlineStr">
        <is>
          <t>SHP-1</t>
        </is>
      </c>
      <c r="E5" s="4" t="inlineStr"/>
      <c r="F5" s="4" t="inlineStr">
        <is>
          <t>RAC 453 S</t>
        </is>
      </c>
      <c r="G5" s="5" t="n">
        <v>700</v>
      </c>
      <c r="H5" s="5" t="n">
        <v>0</v>
      </c>
      <c r="I5" s="5" t="n">
        <v>0</v>
      </c>
      <c r="J5" s="5" t="n">
        <v>1666.5</v>
      </c>
      <c r="K5" s="5" t="n">
        <v>0</v>
      </c>
      <c r="L5" s="5" t="n">
        <v>0</v>
      </c>
      <c r="M5" s="5" t="n">
        <v>0</v>
      </c>
      <c r="N5" s="5" t="n">
        <v>3075</v>
      </c>
      <c r="O5" s="5" t="n">
        <v>0</v>
      </c>
      <c r="P5" s="5">
        <f>IFERROR(SUM(H5:O5),0)</f>
        <v/>
      </c>
      <c r="Q5" s="5">
        <f>IFERROR(G5+P5,0)</f>
        <v/>
      </c>
      <c r="R5" s="3" t="n">
        <v>46104</v>
      </c>
      <c r="S5" s="5" t="n">
        <v>6300</v>
      </c>
      <c r="T5" s="4" t="inlineStr">
        <is>
          <t>BANK TRANSFER</t>
        </is>
      </c>
      <c r="U5" s="3" t="n">
        <v>46104</v>
      </c>
      <c r="V5" s="5" t="n">
        <v>700</v>
      </c>
      <c r="W5" s="4" t="inlineStr">
        <is>
          <t>BANK TRANSFER</t>
        </is>
      </c>
      <c r="X5" s="4" t="inlineStr"/>
      <c r="Y5" s="5" t="inlineStr"/>
      <c r="Z5" s="4" t="inlineStr"/>
      <c r="AA5" s="4" t="inlineStr"/>
      <c r="AB5" s="5" t="inlineStr"/>
      <c r="AC5" s="4" t="inlineStr"/>
      <c r="AD5" s="5">
        <f>IFERROR(S5,0)+IFERROR(V5,0)+IFERROR(Y5,0)+IFERROR(AB5,0)</f>
        <v/>
      </c>
      <c r="AE5" s="5">
        <f>IFERROR(AD5-Q5,0)</f>
        <v/>
      </c>
      <c r="AF5" s="6">
        <f>AE5</f>
        <v/>
      </c>
    </row>
    <row r="6">
      <c r="A6" s="7" t="n">
        <v>46104</v>
      </c>
      <c r="B6" s="8" t="inlineStr">
        <is>
          <t>ATMS-20260323-0002</t>
        </is>
      </c>
      <c r="C6" s="8" t="inlineStr">
        <is>
          <t>Bravetech company ltd</t>
        </is>
      </c>
      <c r="D6" s="8" t="inlineStr">
        <is>
          <t>SHP-2</t>
        </is>
      </c>
      <c r="E6" s="8" t="inlineStr"/>
      <c r="F6" s="8" t="inlineStr">
        <is>
          <t>RAC 4544 S</t>
        </is>
      </c>
      <c r="G6" s="9" t="n">
        <v>6300</v>
      </c>
      <c r="H6" s="9" t="n">
        <v>0</v>
      </c>
      <c r="I6" s="9" t="n">
        <v>0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1572.99</v>
      </c>
      <c r="O6" s="9" t="n">
        <v>0</v>
      </c>
      <c r="P6" s="9">
        <f>IFERROR(SUM(H6:O6),0)</f>
        <v/>
      </c>
      <c r="Q6" s="9">
        <f>IFERROR(G6+P6,0)</f>
        <v/>
      </c>
      <c r="R6" s="7" t="n">
        <v>46104</v>
      </c>
      <c r="S6" s="9" t="n">
        <v>6300</v>
      </c>
      <c r="T6" s="8" t="inlineStr">
        <is>
          <t>BANK TRANSFER</t>
        </is>
      </c>
      <c r="U6" s="7" t="n">
        <v>46104</v>
      </c>
      <c r="V6" s="9" t="n">
        <v>700</v>
      </c>
      <c r="W6" s="8" t="inlineStr">
        <is>
          <t>BANK TRANSFER</t>
        </is>
      </c>
      <c r="X6" s="8" t="inlineStr"/>
      <c r="Y6" s="9" t="inlineStr"/>
      <c r="Z6" s="8" t="inlineStr"/>
      <c r="AA6" s="8" t="inlineStr"/>
      <c r="AB6" s="9" t="inlineStr"/>
      <c r="AC6" s="8" t="inlineStr"/>
      <c r="AD6" s="9">
        <f>IFERROR(S6,0)+IFERROR(V6,0)+IFERROR(Y6,0)+IFERROR(AB6,0)</f>
        <v/>
      </c>
      <c r="AE6" s="9">
        <f>IFERROR(AD6-Q6,0)</f>
        <v/>
      </c>
      <c r="AF6" s="10">
        <f>AF5+AE6</f>
        <v/>
      </c>
    </row>
    <row r="7">
      <c r="A7" s="3" t="n">
        <v>46104</v>
      </c>
      <c r="B7" s="4" t="inlineStr">
        <is>
          <t>ATMS-20260323-0001</t>
        </is>
      </c>
      <c r="C7" s="4" t="inlineStr">
        <is>
          <t>University of Rwanda</t>
        </is>
      </c>
      <c r="D7" s="4" t="inlineStr">
        <is>
          <t>SHP-3</t>
        </is>
      </c>
      <c r="E7" s="4" t="inlineStr"/>
      <c r="F7" s="4" t="inlineStr">
        <is>
          <t>RAC 453 S</t>
        </is>
      </c>
      <c r="G7" s="5" t="n">
        <v>18000</v>
      </c>
      <c r="H7" s="5" t="n">
        <v>0</v>
      </c>
      <c r="I7" s="5" t="n">
        <v>0</v>
      </c>
      <c r="J7" s="5" t="n">
        <v>1666.5</v>
      </c>
      <c r="K7" s="5" t="n">
        <v>0</v>
      </c>
      <c r="L7" s="5" t="n">
        <v>0</v>
      </c>
      <c r="M7" s="5" t="n">
        <v>0</v>
      </c>
      <c r="N7" s="5" t="n">
        <v>3075</v>
      </c>
      <c r="O7" s="5" t="n">
        <v>0</v>
      </c>
      <c r="P7" s="5">
        <f>IFERROR(SUM(H7:O7),0)</f>
        <v/>
      </c>
      <c r="Q7" s="5">
        <f>IFERROR(G7+P7,0)</f>
        <v/>
      </c>
      <c r="R7" s="3" t="n">
        <v>46104</v>
      </c>
      <c r="S7" s="5" t="n">
        <v>18000</v>
      </c>
      <c r="T7" s="4" t="inlineStr">
        <is>
          <t>BANK TRANSFER</t>
        </is>
      </c>
      <c r="U7" s="4" t="inlineStr"/>
      <c r="V7" s="5" t="inlineStr"/>
      <c r="W7" s="4" t="inlineStr"/>
      <c r="X7" s="4" t="inlineStr"/>
      <c r="Y7" s="5" t="inlineStr"/>
      <c r="Z7" s="4" t="inlineStr"/>
      <c r="AA7" s="4" t="inlineStr"/>
      <c r="AB7" s="5" t="inlineStr"/>
      <c r="AC7" s="4" t="inlineStr"/>
      <c r="AD7" s="5">
        <f>IFERROR(S7,0)+IFERROR(V7,0)+IFERROR(Y7,0)+IFERROR(AB7,0)</f>
        <v/>
      </c>
      <c r="AE7" s="5">
        <f>IFERROR(AD7-Q7,0)</f>
        <v/>
      </c>
      <c r="AF7" s="6">
        <f>AF6+AE7</f>
        <v/>
      </c>
    </row>
  </sheetData>
  <mergeCells count="5">
    <mergeCell ref="A1:AF1"/>
    <mergeCell ref="A3:G3"/>
    <mergeCell ref="AD3:AF3"/>
    <mergeCell ref="Q3:AC3"/>
    <mergeCell ref="H3:P3"/>
  </mergeCells>
  <conditionalFormatting sqref="AE5:AE7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2026-03-24T02:29:14Z</dcterms:created>
  <dcterms:modified xmlns:dcterms="http://purl.org/dc/terms/" xmlns:xsi="http://www.w3.org/2001/XMLSchema-instance" xsi:type="dcterms:W3CDTF">2026-03-24T02:29:14Z</dcterms:modified>
</cp:coreProperties>
</file>